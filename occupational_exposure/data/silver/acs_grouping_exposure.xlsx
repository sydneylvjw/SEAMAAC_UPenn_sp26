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o365.sharepoint.com/teams/DES-HCED-SEAMAAC/Shared Documents/Our Individual Folders/Sydney/occupational_exposure/"/>
    </mc:Choice>
  </mc:AlternateContent>
  <xr:revisionPtr revIDLastSave="79" documentId="8_{2EFD5D60-B4C2-B747-8E56-3B6CF6AD179E}" xr6:coauthVersionLast="47" xr6:coauthVersionMax="47" xr10:uidLastSave="{BA9D6B68-98B5-6D4D-9CB9-E007466B7A94}"/>
  <bookViews>
    <workbookView xWindow="20340" yWindow="2960" windowWidth="25640" windowHeight="14180" xr2:uid="{61608E9A-2254-434E-9F2F-45746F7C9BD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E24" i="1"/>
  <c r="D24" i="1"/>
  <c r="C24" i="1"/>
  <c r="B24" i="1"/>
  <c r="F23" i="1"/>
  <c r="E23" i="1"/>
  <c r="D23" i="1"/>
  <c r="C23" i="1"/>
  <c r="B23" i="1"/>
  <c r="A7" i="1"/>
  <c r="B7" i="1" l="1"/>
  <c r="F7" i="1"/>
  <c r="D7" i="1"/>
  <c r="C7" i="1"/>
  <c r="E7" i="1" l="1"/>
  <c r="C22" i="1" l="1"/>
  <c r="D22" i="1"/>
  <c r="A6" i="1"/>
  <c r="A5" i="1"/>
  <c r="D5" i="1" l="1"/>
  <c r="C5" i="1"/>
  <c r="D6" i="1"/>
  <c r="C6" i="1"/>
  <c r="B5" i="1"/>
  <c r="A3" i="1"/>
  <c r="A4" i="1"/>
  <c r="A2" i="1"/>
  <c r="B2" i="1" s="1"/>
  <c r="B6" i="1"/>
  <c r="A13" i="1"/>
  <c r="A20" i="1"/>
  <c r="A17" i="1"/>
  <c r="A14" i="1"/>
  <c r="A18" i="1"/>
  <c r="A21" i="1"/>
  <c r="A15" i="1"/>
  <c r="A16" i="1"/>
  <c r="A10" i="1"/>
  <c r="C10" i="1" s="1"/>
  <c r="F5" i="1"/>
  <c r="C13" i="1" l="1"/>
  <c r="D13" i="1"/>
  <c r="C17" i="1"/>
  <c r="D17" i="1"/>
  <c r="C14" i="1"/>
  <c r="D14" i="1"/>
  <c r="D10" i="1"/>
  <c r="D20" i="1"/>
  <c r="C20" i="1"/>
  <c r="C15" i="1"/>
  <c r="D15" i="1"/>
  <c r="D18" i="1"/>
  <c r="C18" i="1"/>
  <c r="C16" i="1"/>
  <c r="D16" i="1"/>
  <c r="D21" i="1"/>
  <c r="C21" i="1"/>
  <c r="B3" i="1"/>
  <c r="B4" i="1"/>
  <c r="D3" i="1"/>
  <c r="D4" i="1"/>
  <c r="F3" i="1"/>
  <c r="A8" i="1"/>
  <c r="C2" i="1"/>
  <c r="F6" i="1"/>
  <c r="F2" i="1"/>
  <c r="F4" i="1"/>
  <c r="B13" i="1"/>
  <c r="A12" i="1"/>
  <c r="B20" i="1"/>
  <c r="A19" i="1"/>
  <c r="B14" i="1"/>
  <c r="B16" i="1"/>
  <c r="F15" i="1"/>
  <c r="B15" i="1"/>
  <c r="E13" i="1"/>
  <c r="B17" i="1"/>
  <c r="F13" i="1"/>
  <c r="A9" i="1"/>
  <c r="A11" i="1"/>
  <c r="B18" i="1"/>
  <c r="F10" i="1"/>
  <c r="E20" i="1"/>
  <c r="F20" i="1"/>
  <c r="E10" i="1"/>
  <c r="B10" i="1"/>
  <c r="E16" i="1"/>
  <c r="B21" i="1"/>
  <c r="E14" i="1"/>
  <c r="F16" i="1"/>
  <c r="E3" i="1"/>
  <c r="E4" i="1"/>
  <c r="E5" i="1"/>
  <c r="C4" i="1"/>
  <c r="C3" i="1"/>
  <c r="B19" i="1" l="1"/>
  <c r="D19" i="1"/>
  <c r="C19" i="1"/>
  <c r="B12" i="1"/>
  <c r="C12" i="1"/>
  <c r="D12" i="1"/>
  <c r="D11" i="1"/>
  <c r="C11" i="1"/>
  <c r="D9" i="1"/>
  <c r="C9" i="1"/>
  <c r="E8" i="1"/>
  <c r="D8" i="1"/>
  <c r="C8" i="1"/>
  <c r="F12" i="1"/>
  <c r="B8" i="1"/>
  <c r="E21" i="1"/>
  <c r="E12" i="1"/>
  <c r="F8" i="1"/>
  <c r="D2" i="1"/>
  <c r="F14" i="1"/>
  <c r="F19" i="1"/>
  <c r="E19" i="1"/>
  <c r="F18" i="1"/>
  <c r="E15" i="1"/>
  <c r="E18" i="1"/>
  <c r="F21" i="1"/>
  <c r="F22" i="1"/>
  <c r="E22" i="1"/>
  <c r="B22" i="1"/>
  <c r="B9" i="1"/>
  <c r="F9" i="1"/>
  <c r="E9" i="1"/>
  <c r="F17" i="1"/>
  <c r="E11" i="1"/>
  <c r="B11" i="1"/>
  <c r="F11" i="1"/>
  <c r="E17" i="1"/>
  <c r="E2" i="1" l="1"/>
  <c r="E6" i="1"/>
</calcChain>
</file>

<file path=xl/sharedStrings.xml><?xml version="1.0" encoding="utf-8"?>
<sst xmlns="http://schemas.openxmlformats.org/spreadsheetml/2006/main" count="9" uniqueCount="8">
  <si>
    <t>code_2_digit</t>
  </si>
  <si>
    <t>industry_occupation</t>
  </si>
  <si>
    <t>indoors_controlled</t>
  </si>
  <si>
    <t>outdoors_exposed</t>
  </si>
  <si>
    <t>outdoors_undercover</t>
  </si>
  <si>
    <t>very_hot_very_cold</t>
  </si>
  <si>
    <t>Arts, Entertainment, and Recreation, and Accommodation and Food Services, and Retail Trade</t>
  </si>
  <si>
    <t>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</si>
</sst>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nno365.sharepoint.com/teams/DES-HCED-SEAMAAC/Shared%20Documents/Our%20Individual%20Folders/Sydney/occupational_exposure/data/Exposed_to_Very_Hot_or_Cold_Temperatures.xlsx" TargetMode="External"/><Relationship Id="rId1" Type="http://schemas.openxmlformats.org/officeDocument/2006/relationships/externalLinkPath" Target="data/Exposed_to_Very_Hot_or_Cold_Temperat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Exposure Types"/>
      <sheetName val="Indoors, uncontrolled"/>
      <sheetName val="Outdoors, exposed"/>
      <sheetName val="Outdoors, under cover"/>
      <sheetName val="Very hot or very cold"/>
      <sheetName val="Context Scale"/>
      <sheetName val="ONET-SOC Crosswalk"/>
      <sheetName val="ACS-NAICS-SOC x-walk"/>
      <sheetName val="Sheet14"/>
      <sheetName val="2022 ACS NAICS Codes"/>
      <sheetName val="Sheet13"/>
      <sheetName val="Naics 2-digit"/>
      <sheetName val="SOC 2-digit"/>
      <sheetName val="NAICS-SOC-CIP x-walk"/>
      <sheetName val="Sources"/>
    </sheetNames>
    <sheetDataSet>
      <sheetData sheetId="0">
        <row r="1">
          <cell r="A1" t="str">
            <v>Mean Heat Exposure Scores by ACS SOC Grouping</v>
          </cell>
        </row>
        <row r="2">
          <cell r="A2" t="str">
            <v>ACS Occupation</v>
          </cell>
          <cell r="B2" t="str">
            <v>SOC 2-Digit</v>
          </cell>
          <cell r="C2" t="str">
            <v>Indoors, Uncontrolled</v>
          </cell>
          <cell r="D2" t="str">
            <v>Outdoors, Exposed</v>
          </cell>
          <cell r="E2" t="str">
            <v>Outdoors, Under Cover</v>
          </cell>
          <cell r="F2" t="str">
            <v>Very Hot or Very Cold</v>
          </cell>
        </row>
        <row r="3">
          <cell r="A3" t="str">
            <v>Management, business, science, and arts occupations</v>
          </cell>
          <cell r="B3">
            <v>11</v>
          </cell>
          <cell r="C3">
            <v>22.668161434977577</v>
          </cell>
          <cell r="D3">
            <v>21.941573033707865</v>
          </cell>
          <cell r="E3">
            <v>15.185897435897436</v>
          </cell>
          <cell r="F3">
            <v>17.474157303370788</v>
          </cell>
        </row>
        <row r="4">
          <cell r="A4" t="str">
            <v>Service occupations</v>
          </cell>
          <cell r="B4">
            <v>31</v>
          </cell>
          <cell r="C4">
            <v>27.072164948453608</v>
          </cell>
          <cell r="D4">
            <v>38.360824742268044</v>
          </cell>
          <cell r="E4">
            <v>23.753086419753085</v>
          </cell>
          <cell r="F4">
            <v>34.195876288659797</v>
          </cell>
        </row>
        <row r="5">
          <cell r="A5" t="str">
            <v>Natural resources, construction, and maintenance occupations</v>
          </cell>
          <cell r="B5">
            <v>45</v>
          </cell>
          <cell r="C5">
            <v>59.666666666666664</v>
          </cell>
          <cell r="D5">
            <v>71.040650406504071</v>
          </cell>
          <cell r="E5">
            <v>41.27642276422764</v>
          </cell>
          <cell r="F5">
            <v>65.390243902439025</v>
          </cell>
        </row>
        <row r="6">
          <cell r="A6" t="str">
            <v>Production, transportation, and material moving occupations</v>
          </cell>
          <cell r="B6">
            <v>51</v>
          </cell>
          <cell r="C6">
            <v>51.458064516129035</v>
          </cell>
          <cell r="D6">
            <v>37.429487179487182</v>
          </cell>
          <cell r="E6">
            <v>22.262820512820515</v>
          </cell>
          <cell r="F6">
            <v>53.564102564102562</v>
          </cell>
        </row>
        <row r="7">
          <cell r="A7" t="str">
            <v>Management, business, science, and arts occupations</v>
          </cell>
          <cell r="B7">
            <v>11</v>
          </cell>
          <cell r="C7">
            <v>22.668161434977577</v>
          </cell>
          <cell r="D7">
            <v>21.941573033707865</v>
          </cell>
          <cell r="E7">
            <v>15.185897435897436</v>
          </cell>
          <cell r="F7">
            <v>17.474157303370788</v>
          </cell>
        </row>
        <row r="8">
          <cell r="A8" t="str">
            <v>Sales and office occupations</v>
          </cell>
          <cell r="B8">
            <v>43</v>
          </cell>
          <cell r="C8">
            <v>16.305555555555557</v>
          </cell>
          <cell r="D8">
            <v>18.430555555555557</v>
          </cell>
          <cell r="E8">
            <v>5.0980392156862742</v>
          </cell>
          <cell r="F8">
            <v>17.152777777777779</v>
          </cell>
        </row>
        <row r="12">
          <cell r="A12" t="str">
            <v>Mean Heat Exposure Scores by ACS Industry Grouping</v>
          </cell>
        </row>
        <row r="13">
          <cell r="A13" t="str">
            <v>ACS Industry</v>
          </cell>
          <cell r="B13" t="str">
            <v>NAICS 2-Digit</v>
          </cell>
          <cell r="C13" t="str">
            <v>Indoors, Uncontrolled</v>
          </cell>
          <cell r="D13" t="str">
            <v>Outdoors, Exposed</v>
          </cell>
          <cell r="E13" t="str">
            <v>Outdoors, Under Cover</v>
          </cell>
          <cell r="F13" t="str">
            <v>Very Hot or Very Cold</v>
          </cell>
        </row>
        <row r="14">
          <cell r="A14" t="str">
            <v>Agriculture, Forestry, Fishing and Hunting, and Mining</v>
          </cell>
          <cell r="B14">
            <v>11</v>
          </cell>
          <cell r="C14">
            <v>48.483870967741936</v>
          </cell>
          <cell r="D14">
            <v>55.946236559139784</v>
          </cell>
          <cell r="E14">
            <v>34.5</v>
          </cell>
          <cell r="F14">
            <v>48.483870967741936</v>
          </cell>
        </row>
        <row r="15">
          <cell r="A15" t="str">
            <v>Agriculture, Forestry, Fishing and Hunting, and Mining</v>
          </cell>
          <cell r="B15">
            <v>11</v>
          </cell>
          <cell r="C15">
            <v>48.483870967741936</v>
          </cell>
          <cell r="D15">
            <v>55.946236559139784</v>
          </cell>
          <cell r="E15">
            <v>34.5</v>
          </cell>
          <cell r="F15">
            <v>48.483870967741936</v>
          </cell>
        </row>
        <row r="16">
          <cell r="A16" t="str">
            <v xml:space="preserve">Transportation and Warehousing, and Utilities     </v>
          </cell>
          <cell r="B16">
            <v>22</v>
          </cell>
          <cell r="C16" t="e">
            <v>#N/A</v>
          </cell>
          <cell r="D16" t="e">
            <v>#N/A</v>
          </cell>
          <cell r="E16" t="e">
            <v>#N/A</v>
          </cell>
          <cell r="F16" t="e">
            <v>#N/A</v>
          </cell>
        </row>
        <row r="17">
          <cell r="A17" t="str">
            <v>Construction</v>
          </cell>
          <cell r="B17">
            <v>23</v>
          </cell>
          <cell r="C17">
            <v>57.934210526315788</v>
          </cell>
          <cell r="D17">
            <v>61.434210526315788</v>
          </cell>
          <cell r="E17">
            <v>38.146666666666668</v>
          </cell>
          <cell r="F17">
            <v>57.934210526315788</v>
          </cell>
        </row>
        <row r="18">
          <cell r="A18" t="str">
            <v>Wholesale Trade</v>
          </cell>
          <cell r="B18">
            <v>42</v>
          </cell>
          <cell r="C18">
            <v>53.857142857142854</v>
          </cell>
          <cell r="D18">
            <v>61.70422535211268</v>
          </cell>
          <cell r="E18">
            <v>35.235294117647058</v>
          </cell>
          <cell r="F18">
            <v>53.857142857142854</v>
          </cell>
        </row>
        <row r="19">
          <cell r="A19" t="str">
            <v xml:space="preserve">Information </v>
          </cell>
          <cell r="B19">
            <v>51</v>
          </cell>
          <cell r="C19">
            <v>11.518518518518519</v>
          </cell>
          <cell r="D19">
            <v>7.9629629629629628</v>
          </cell>
          <cell r="E19">
            <v>6.8076923076923075</v>
          </cell>
          <cell r="F19">
            <v>11.518518518518519</v>
          </cell>
        </row>
        <row r="20">
          <cell r="A20" t="str">
            <v>Finance and Insurance, and Real Estate, and Rental and Leasing</v>
          </cell>
          <cell r="B20">
            <v>52</v>
          </cell>
          <cell r="C20">
            <v>11.96875</v>
          </cell>
          <cell r="D20">
            <v>14.75</v>
          </cell>
          <cell r="E20">
            <v>7.4333333333333336</v>
          </cell>
          <cell r="F20">
            <v>11.96875</v>
          </cell>
        </row>
        <row r="21">
          <cell r="A21" t="str">
            <v>Finance and Insurance, and Real Estate, and Rental and Leasing</v>
          </cell>
          <cell r="B21">
            <v>52</v>
          </cell>
          <cell r="C21">
            <v>11.96875</v>
          </cell>
          <cell r="D21">
            <v>14.75</v>
          </cell>
          <cell r="E21">
            <v>7.4333333333333336</v>
          </cell>
          <cell r="F21">
            <v>11.96875</v>
          </cell>
        </row>
        <row r="22">
          <cell r="A22" t="str">
            <v>Professional, Scientific, and Management, and Administrative, and Waste Management Services</v>
          </cell>
          <cell r="B22">
            <v>54</v>
          </cell>
          <cell r="C22">
            <v>28.163636363636364</v>
          </cell>
          <cell r="D22">
            <v>37.072727272727271</v>
          </cell>
          <cell r="E22">
            <v>19.346153846153847</v>
          </cell>
          <cell r="F22">
            <v>28.163636363636364</v>
          </cell>
        </row>
        <row r="23">
          <cell r="A23" t="str">
            <v>Professional, Scientific, and Management, and Administrative, and Waste Management Services</v>
          </cell>
          <cell r="B23">
            <v>54</v>
          </cell>
          <cell r="C23">
            <v>28.163636363636364</v>
          </cell>
          <cell r="D23">
            <v>37.072727272727271</v>
          </cell>
          <cell r="E23">
            <v>19.346153846153847</v>
          </cell>
          <cell r="F23">
            <v>28.163636363636364</v>
          </cell>
        </row>
        <row r="24">
          <cell r="A24" t="str">
            <v>Professional, Scientific, and Management, and Administrative, and Waste Management Services</v>
          </cell>
          <cell r="B24">
            <v>54</v>
          </cell>
          <cell r="C24">
            <v>28.163636363636364</v>
          </cell>
          <cell r="D24">
            <v>37.072727272727271</v>
          </cell>
          <cell r="E24">
            <v>19.346153846153847</v>
          </cell>
          <cell r="F24">
            <v>28.163636363636364</v>
          </cell>
        </row>
        <row r="25">
          <cell r="A25" t="str">
            <v>Professional, Scientific, and Management, and Administrative, and Waste Management Services</v>
          </cell>
          <cell r="B25">
            <v>54</v>
          </cell>
          <cell r="C25">
            <v>28.163636363636364</v>
          </cell>
          <cell r="D25">
            <v>37.072727272727271</v>
          </cell>
          <cell r="E25">
            <v>19.346153846153847</v>
          </cell>
          <cell r="F25">
            <v>28.163636363636364</v>
          </cell>
        </row>
        <row r="26">
          <cell r="A26" t="str">
            <v>Educational Services, and Health Care and Social Assistance</v>
          </cell>
          <cell r="B26">
            <v>61</v>
          </cell>
          <cell r="C26">
            <v>18.073529411764707</v>
          </cell>
          <cell r="D26">
            <v>19.632352941176471</v>
          </cell>
          <cell r="E26">
            <v>11.692307692307692</v>
          </cell>
          <cell r="F26">
            <v>18.073529411764707</v>
          </cell>
        </row>
        <row r="27">
          <cell r="A27" t="str">
            <v>Educational Services, and Health Care and Social Assistance</v>
          </cell>
          <cell r="B27">
            <v>61</v>
          </cell>
          <cell r="C27">
            <v>18.073529411764707</v>
          </cell>
          <cell r="D27">
            <v>19.632352941176471</v>
          </cell>
          <cell r="E27">
            <v>11.692307692307692</v>
          </cell>
          <cell r="F27">
            <v>18.073529411764707</v>
          </cell>
        </row>
        <row r="28">
          <cell r="A28" t="str">
            <v>Arts, Entertainment, and Recreation, and Accommodation and Food Services, and Retail Trade</v>
          </cell>
          <cell r="B28">
            <v>71</v>
          </cell>
          <cell r="C28">
            <v>22.88372093023256</v>
          </cell>
          <cell r="D28">
            <v>28.418604651162791</v>
          </cell>
          <cell r="E28">
            <v>15.820512820512821</v>
          </cell>
          <cell r="F28">
            <v>22.88372093023256</v>
          </cell>
        </row>
        <row r="29">
          <cell r="A29" t="str">
            <v>Manufacturing</v>
          </cell>
          <cell r="B29">
            <v>31</v>
          </cell>
          <cell r="C29">
            <v>49.539823008849559</v>
          </cell>
          <cell r="D29">
            <v>22.699115044247787</v>
          </cell>
          <cell r="E29">
            <v>14.710280373831775</v>
          </cell>
          <cell r="F29">
            <v>49.539823008849559</v>
          </cell>
        </row>
        <row r="30">
          <cell r="A30" t="str">
            <v>Manufacturing</v>
          </cell>
          <cell r="B30">
            <v>32</v>
          </cell>
          <cell r="C30">
            <v>49.539823008849559</v>
          </cell>
          <cell r="D30">
            <v>22.699115044247787</v>
          </cell>
          <cell r="E30">
            <v>14.710280373831775</v>
          </cell>
          <cell r="F30">
            <v>49.539823008849559</v>
          </cell>
        </row>
        <row r="31">
          <cell r="A31" t="str">
            <v>Manufacturing</v>
          </cell>
          <cell r="B31">
            <v>33</v>
          </cell>
          <cell r="C31">
            <v>49.539823008849559</v>
          </cell>
          <cell r="D31">
            <v>22.699115044247787</v>
          </cell>
          <cell r="E31">
            <v>14.710280373831775</v>
          </cell>
          <cell r="F31">
            <v>49.539823008849559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9B86-7C8D-1B46-8ED2-666904A837E0}">
  <dimension ref="A1:F24"/>
  <sheetViews>
    <sheetView tabSelected="1" workbookViewId="0">
      <selection activeCell="G14" sqref="G14"/>
    </sheetView>
  </sheetViews>
  <sheetFormatPr baseColWidth="10" defaultRowHeight="16" x14ac:dyDescent="0.2"/>
  <cols>
    <col min="1" max="1" width="84" bestFit="1" customWidth="1"/>
    <col min="2" max="2" width="18.6640625" bestFit="1" customWidth="1"/>
    <col min="3" max="3" width="16.33203125" bestFit="1" customWidth="1"/>
    <col min="4" max="4" width="19.6640625" bestFit="1" customWidth="1"/>
    <col min="5" max="5" width="18.1640625" bestFit="1" customWidth="1"/>
    <col min="6" max="6" width="16.6640625" bestFit="1" customWidth="1"/>
  </cols>
  <sheetData>
    <row r="1" spans="1:6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tr">
        <f>_xlfn.XLOOKUP('[1]All Exposure Types'!$A3,'[1]All Exposure Types'!$A3,'[1]All Exposure Types'!$A3)</f>
        <v>Management, business, science, and arts occupations</v>
      </c>
      <c r="B2">
        <f>_xlfn.XLOOKUP(A2,'[1]All Exposure Types'!A:A,'[1]All Exposure Types'!B:B)</f>
        <v>11</v>
      </c>
      <c r="C2">
        <f>_xlfn.XLOOKUP(A2,'[1]All Exposure Types'!$A:$A,'[1]All Exposure Types'!$C:$C)</f>
        <v>22.668161434977577</v>
      </c>
      <c r="D2">
        <f>_xlfn.XLOOKUP(A2,'[1]All Exposure Types'!$A:$A,'[1]All Exposure Types'!$D:$D)</f>
        <v>21.941573033707865</v>
      </c>
      <c r="E2">
        <f>_xlfn.XLOOKUP(A2,'[1]All Exposure Types'!$A:$A,'[1]All Exposure Types'!$E:$E)</f>
        <v>15.185897435897436</v>
      </c>
      <c r="F2">
        <f>_xlfn.XLOOKUP(A:A,'[1]All Exposure Types'!$A:$A,'[1]All Exposure Types'!$F:$F)</f>
        <v>17.474157303370788</v>
      </c>
    </row>
    <row r="3" spans="1:6" x14ac:dyDescent="0.2">
      <c r="A3" t="str">
        <f>_xlfn.XLOOKUP('[1]All Exposure Types'!$A4,'[1]All Exposure Types'!$A4,'[1]All Exposure Types'!$A4)</f>
        <v>Service occupations</v>
      </c>
      <c r="B3">
        <f>_xlfn.XLOOKUP(A3,'[1]All Exposure Types'!A:A,'[1]All Exposure Types'!B:B)</f>
        <v>31</v>
      </c>
      <c r="C3">
        <f>_xlfn.XLOOKUP(A3,'[1]All Exposure Types'!$A:$A,'[1]All Exposure Types'!$C:$C)</f>
        <v>27.072164948453608</v>
      </c>
      <c r="D3">
        <f>_xlfn.XLOOKUP(A3,'[1]All Exposure Types'!$A:$A,'[1]All Exposure Types'!$D:$D)</f>
        <v>38.360824742268044</v>
      </c>
      <c r="E3">
        <f>_xlfn.XLOOKUP(A3,'[1]All Exposure Types'!$A:$A,'[1]All Exposure Types'!$E:$E)</f>
        <v>23.753086419753085</v>
      </c>
      <c r="F3">
        <f>_xlfn.XLOOKUP(A:A,'[1]All Exposure Types'!$A:$A,'[1]All Exposure Types'!$F:$F)</f>
        <v>34.195876288659797</v>
      </c>
    </row>
    <row r="4" spans="1:6" x14ac:dyDescent="0.2">
      <c r="A4" t="str">
        <f>_xlfn.XLOOKUP('[1]All Exposure Types'!$A5,'[1]All Exposure Types'!$A5,'[1]All Exposure Types'!$A5)</f>
        <v>Natural resources, construction, and maintenance occupations</v>
      </c>
      <c r="B4">
        <f>_xlfn.XLOOKUP(A4,'[1]All Exposure Types'!A:A,'[1]All Exposure Types'!B:B)</f>
        <v>45</v>
      </c>
      <c r="C4">
        <f>_xlfn.XLOOKUP(A4,'[1]All Exposure Types'!$A:$A,'[1]All Exposure Types'!$C:$C)</f>
        <v>59.666666666666664</v>
      </c>
      <c r="D4">
        <f>_xlfn.XLOOKUP(A4,'[1]All Exposure Types'!$A:$A,'[1]All Exposure Types'!$D:$D)</f>
        <v>71.040650406504071</v>
      </c>
      <c r="E4">
        <f>_xlfn.XLOOKUP(A4,'[1]All Exposure Types'!$A:$A,'[1]All Exposure Types'!$E:$E)</f>
        <v>41.27642276422764</v>
      </c>
      <c r="F4">
        <f>_xlfn.XLOOKUP(A:A,'[1]All Exposure Types'!$A:$A,'[1]All Exposure Types'!$F:$F)</f>
        <v>65.390243902439025</v>
      </c>
    </row>
    <row r="5" spans="1:6" x14ac:dyDescent="0.2">
      <c r="A5" t="str">
        <f>_xlfn.XLOOKUP('[1]All Exposure Types'!$A6,'[1]All Exposure Types'!$A6,'[1]All Exposure Types'!$A6)</f>
        <v>Production, transportation, and material moving occupations</v>
      </c>
      <c r="B5">
        <f>_xlfn.XLOOKUP(A5,'[1]All Exposure Types'!A:A,'[1]All Exposure Types'!B:B)</f>
        <v>51</v>
      </c>
      <c r="C5">
        <f>_xlfn.XLOOKUP(A5,'[1]All Exposure Types'!$A:$A,'[1]All Exposure Types'!$C:$C)</f>
        <v>51.458064516129035</v>
      </c>
      <c r="D5">
        <f>_xlfn.XLOOKUP(A5,'[1]All Exposure Types'!$A:$A,'[1]All Exposure Types'!$D:$D)</f>
        <v>37.429487179487182</v>
      </c>
      <c r="E5">
        <f>_xlfn.XLOOKUP(A5,'[1]All Exposure Types'!$A:$A,'[1]All Exposure Types'!$E:$E)</f>
        <v>22.262820512820515</v>
      </c>
      <c r="F5">
        <f>_xlfn.XLOOKUP(A:A,'[1]All Exposure Types'!$A:$A,'[1]All Exposure Types'!$F:$F)</f>
        <v>53.564102564102562</v>
      </c>
    </row>
    <row r="6" spans="1:6" x14ac:dyDescent="0.2">
      <c r="A6" t="str">
        <f>_xlfn.XLOOKUP('[1]All Exposure Types'!$A7,'[1]All Exposure Types'!$A7,'[1]All Exposure Types'!$A7)</f>
        <v>Management, business, science, and arts occupations</v>
      </c>
      <c r="B6">
        <f>_xlfn.XLOOKUP(A6,'[1]All Exposure Types'!A:A,'[1]All Exposure Types'!B:B)</f>
        <v>11</v>
      </c>
      <c r="C6">
        <f>_xlfn.XLOOKUP(A6,'[1]All Exposure Types'!$A:$A,'[1]All Exposure Types'!$C:$C)</f>
        <v>22.668161434977577</v>
      </c>
      <c r="D6">
        <f>_xlfn.XLOOKUP(A6,'[1]All Exposure Types'!$A:$A,'[1]All Exposure Types'!$D:$D)</f>
        <v>21.941573033707865</v>
      </c>
      <c r="E6">
        <f>_xlfn.XLOOKUP(A6,'[1]All Exposure Types'!$A:$A,'[1]All Exposure Types'!$E:$E)</f>
        <v>15.185897435897436</v>
      </c>
      <c r="F6">
        <f>_xlfn.XLOOKUP(A:A,'[1]All Exposure Types'!$A:$A,'[1]All Exposure Types'!$F:$F)</f>
        <v>17.474157303370788</v>
      </c>
    </row>
    <row r="7" spans="1:6" x14ac:dyDescent="0.2">
      <c r="A7" t="str">
        <f>_xlfn.XLOOKUP('[1]All Exposure Types'!$A8,'[1]All Exposure Types'!$A8,'[1]All Exposure Types'!$A8)</f>
        <v>Sales and office occupations</v>
      </c>
      <c r="B7">
        <f>_xlfn.XLOOKUP(A7,'[1]All Exposure Types'!A:A,'[1]All Exposure Types'!B:B)</f>
        <v>43</v>
      </c>
      <c r="C7">
        <f>_xlfn.XLOOKUP(A7,'[1]All Exposure Types'!$A:$A,'[1]All Exposure Types'!$C:$C)</f>
        <v>16.305555555555557</v>
      </c>
      <c r="D7">
        <f>_xlfn.XLOOKUP(A7,'[1]All Exposure Types'!$A:$A,'[1]All Exposure Types'!$D:$D)</f>
        <v>18.430555555555557</v>
      </c>
      <c r="E7">
        <f>_xlfn.XLOOKUP(A7,'[1]All Exposure Types'!$A:$A,'[1]All Exposure Types'!$E:$E)</f>
        <v>5.0980392156862742</v>
      </c>
      <c r="F7">
        <f>_xlfn.XLOOKUP(A:A,'[1]All Exposure Types'!$A:$A,'[1]All Exposure Types'!$F:$F)</f>
        <v>17.152777777777779</v>
      </c>
    </row>
    <row r="8" spans="1:6" x14ac:dyDescent="0.2">
      <c r="A8" t="str">
        <f>_xlfn.XLOOKUP('[1]All Exposure Types'!$A14,'[1]All Exposure Types'!$A14,'[1]All Exposure Types'!$A14)</f>
        <v>Agriculture, Forestry, Fishing and Hunting, and Mining</v>
      </c>
      <c r="B8">
        <f>_xlfn.XLOOKUP(A8,'[1]All Exposure Types'!A:A,'[1]All Exposure Types'!B:B)</f>
        <v>11</v>
      </c>
      <c r="C8">
        <f>_xlfn.XLOOKUP(A8,'[1]All Exposure Types'!$A:$A,'[1]All Exposure Types'!$C:$C)</f>
        <v>48.483870967741936</v>
      </c>
      <c r="D8">
        <f>_xlfn.XLOOKUP(A8,'[1]All Exposure Types'!$A:$A,'[1]All Exposure Types'!$D:$D)</f>
        <v>55.946236559139784</v>
      </c>
      <c r="E8">
        <f>_xlfn.XLOOKUP(A8,'[1]All Exposure Types'!$A:$A,'[1]All Exposure Types'!$E:$E)</f>
        <v>34.5</v>
      </c>
      <c r="F8">
        <f>_xlfn.XLOOKUP(A:A,'[1]All Exposure Types'!$A:$A,'[1]All Exposure Types'!$F:$F)</f>
        <v>48.483870967741936</v>
      </c>
    </row>
    <row r="9" spans="1:6" x14ac:dyDescent="0.2">
      <c r="A9" t="str">
        <f>_xlfn.XLOOKUP('[1]All Exposure Types'!$A15,'[1]All Exposure Types'!$A15,'[1]All Exposure Types'!$A15)</f>
        <v>Agriculture, Forestry, Fishing and Hunting, and Mining</v>
      </c>
      <c r="B9">
        <f>_xlfn.XLOOKUP(A9,'[1]All Exposure Types'!A:A,'[1]All Exposure Types'!B:B)</f>
        <v>11</v>
      </c>
      <c r="C9">
        <f>_xlfn.XLOOKUP(A9,'[1]All Exposure Types'!$A:$A,'[1]All Exposure Types'!$C:$C)</f>
        <v>48.483870967741936</v>
      </c>
      <c r="D9">
        <f>_xlfn.XLOOKUP(A9,'[1]All Exposure Types'!$A:$A,'[1]All Exposure Types'!$D:$D)</f>
        <v>55.946236559139784</v>
      </c>
      <c r="E9">
        <f>_xlfn.XLOOKUP(A9,'[1]All Exposure Types'!$A:$A,'[1]All Exposure Types'!$E:$E)</f>
        <v>34.5</v>
      </c>
      <c r="F9">
        <f>_xlfn.XLOOKUP(A:A,'[1]All Exposure Types'!$A:$A,'[1]All Exposure Types'!$F:$F)</f>
        <v>48.483870967741936</v>
      </c>
    </row>
    <row r="10" spans="1:6" x14ac:dyDescent="0.2">
      <c r="A10" t="str">
        <f>_xlfn.XLOOKUP('[1]All Exposure Types'!$A16,'[1]All Exposure Types'!$A16,'[1]All Exposure Types'!$A16)</f>
        <v xml:space="preserve">Transportation and Warehousing, and Utilities     </v>
      </c>
      <c r="B10">
        <f>_xlfn.XLOOKUP(A10,'[1]All Exposure Types'!A:A,'[1]All Exposure Types'!B:B)</f>
        <v>22</v>
      </c>
      <c r="C10" t="e">
        <f>_xlfn.XLOOKUP(A10,'[1]All Exposure Types'!$A:$A,'[1]All Exposure Types'!$C:$C)</f>
        <v>#N/A</v>
      </c>
      <c r="D10" t="e">
        <f>_xlfn.XLOOKUP(A10,'[1]All Exposure Types'!$A:$A,'[1]All Exposure Types'!$D:$D)</f>
        <v>#N/A</v>
      </c>
      <c r="E10" t="e">
        <f>_xlfn.XLOOKUP(A10,'[1]All Exposure Types'!$A:$A,'[1]All Exposure Types'!$E:$E)</f>
        <v>#N/A</v>
      </c>
      <c r="F10" t="e">
        <f>_xlfn.XLOOKUP(A:A,'[1]All Exposure Types'!$A:$A,'[1]All Exposure Types'!$F:$F)</f>
        <v>#N/A</v>
      </c>
    </row>
    <row r="11" spans="1:6" x14ac:dyDescent="0.2">
      <c r="A11" t="str">
        <f>_xlfn.XLOOKUP('[1]All Exposure Types'!$A17,'[1]All Exposure Types'!$A17,'[1]All Exposure Types'!$A17)</f>
        <v>Construction</v>
      </c>
      <c r="B11">
        <f>_xlfn.XLOOKUP(A11,'[1]All Exposure Types'!A:A,'[1]All Exposure Types'!B:B)</f>
        <v>23</v>
      </c>
      <c r="C11">
        <f>_xlfn.XLOOKUP(A11,'[1]All Exposure Types'!$A:$A,'[1]All Exposure Types'!$C:$C)</f>
        <v>57.934210526315788</v>
      </c>
      <c r="D11">
        <f>_xlfn.XLOOKUP(A11,'[1]All Exposure Types'!$A:$A,'[1]All Exposure Types'!$D:$D)</f>
        <v>61.434210526315788</v>
      </c>
      <c r="E11">
        <f>_xlfn.XLOOKUP(A11,'[1]All Exposure Types'!$A:$A,'[1]All Exposure Types'!$E:$E)</f>
        <v>38.146666666666668</v>
      </c>
      <c r="F11">
        <f>_xlfn.XLOOKUP(A:A,'[1]All Exposure Types'!$A:$A,'[1]All Exposure Types'!$F:$F)</f>
        <v>57.934210526315788</v>
      </c>
    </row>
    <row r="12" spans="1:6" x14ac:dyDescent="0.2">
      <c r="A12" t="str">
        <f>_xlfn.XLOOKUP('[1]All Exposure Types'!$A18,'[1]All Exposure Types'!$A18,'[1]All Exposure Types'!$A18)</f>
        <v>Wholesale Trade</v>
      </c>
      <c r="B12">
        <f>_xlfn.XLOOKUP(A12,'[1]All Exposure Types'!A:A,'[1]All Exposure Types'!B:B)</f>
        <v>42</v>
      </c>
      <c r="C12">
        <f>_xlfn.XLOOKUP(A12,'[1]All Exposure Types'!$A:$A,'[1]All Exposure Types'!$C:$C)</f>
        <v>53.857142857142854</v>
      </c>
      <c r="D12">
        <f>_xlfn.XLOOKUP(A12,'[1]All Exposure Types'!$A:$A,'[1]All Exposure Types'!$D:$D)</f>
        <v>61.70422535211268</v>
      </c>
      <c r="E12">
        <f>_xlfn.XLOOKUP(A12,'[1]All Exposure Types'!$A:$A,'[1]All Exposure Types'!$E:$E)</f>
        <v>35.235294117647058</v>
      </c>
      <c r="F12">
        <f>_xlfn.XLOOKUP(A:A,'[1]All Exposure Types'!$A:$A,'[1]All Exposure Types'!$F:$F)</f>
        <v>53.857142857142854</v>
      </c>
    </row>
    <row r="13" spans="1:6" x14ac:dyDescent="0.2">
      <c r="A13" t="str">
        <f>_xlfn.XLOOKUP('[1]All Exposure Types'!$A19,'[1]All Exposure Types'!$A19,'[1]All Exposure Types'!$A19)</f>
        <v xml:space="preserve">Information </v>
      </c>
      <c r="B13">
        <f>_xlfn.XLOOKUP(A13,'[1]All Exposure Types'!A:A,'[1]All Exposure Types'!B:B)</f>
        <v>51</v>
      </c>
      <c r="C13">
        <f>_xlfn.XLOOKUP(A13,'[1]All Exposure Types'!$A:$A,'[1]All Exposure Types'!$C:$C)</f>
        <v>11.518518518518519</v>
      </c>
      <c r="D13">
        <f>_xlfn.XLOOKUP(A13,'[1]All Exposure Types'!$A:$A,'[1]All Exposure Types'!$D:$D)</f>
        <v>7.9629629629629628</v>
      </c>
      <c r="E13">
        <f>_xlfn.XLOOKUP(A13,'[1]All Exposure Types'!$A:$A,'[1]All Exposure Types'!$E:$E)</f>
        <v>6.8076923076923075</v>
      </c>
      <c r="F13">
        <f>_xlfn.XLOOKUP(A:A,'[1]All Exposure Types'!$A:$A,'[1]All Exposure Types'!$F:$F)</f>
        <v>11.518518518518519</v>
      </c>
    </row>
    <row r="14" spans="1:6" x14ac:dyDescent="0.2">
      <c r="A14" t="str">
        <f>_xlfn.XLOOKUP('[1]All Exposure Types'!$A20,'[1]All Exposure Types'!$A20,'[1]All Exposure Types'!$A20)</f>
        <v>Finance and Insurance, and Real Estate, and Rental and Leasing</v>
      </c>
      <c r="B14">
        <f>_xlfn.XLOOKUP(A14,'[1]All Exposure Types'!A:A,'[1]All Exposure Types'!B:B)</f>
        <v>52</v>
      </c>
      <c r="C14">
        <f>_xlfn.XLOOKUP(A14,'[1]All Exposure Types'!$A:$A,'[1]All Exposure Types'!$C:$C)</f>
        <v>11.96875</v>
      </c>
      <c r="D14">
        <f>_xlfn.XLOOKUP(A14,'[1]All Exposure Types'!$A:$A,'[1]All Exposure Types'!$D:$D)</f>
        <v>14.75</v>
      </c>
      <c r="E14">
        <f>_xlfn.XLOOKUP(A14,'[1]All Exposure Types'!$A:$A,'[1]All Exposure Types'!$E:$E)</f>
        <v>7.4333333333333336</v>
      </c>
      <c r="F14">
        <f>_xlfn.XLOOKUP(A:A,'[1]All Exposure Types'!$A:$A,'[1]All Exposure Types'!$F:$F)</f>
        <v>11.96875</v>
      </c>
    </row>
    <row r="15" spans="1:6" x14ac:dyDescent="0.2">
      <c r="A15" t="str">
        <f>_xlfn.XLOOKUP('[1]All Exposure Types'!$A21,'[1]All Exposure Types'!$A21,'[1]All Exposure Types'!$A21)</f>
        <v>Finance and Insurance, and Real Estate, and Rental and Leasing</v>
      </c>
      <c r="B15">
        <f>_xlfn.XLOOKUP(A15,'[1]All Exposure Types'!A:A,'[1]All Exposure Types'!B:B)</f>
        <v>52</v>
      </c>
      <c r="C15">
        <f>_xlfn.XLOOKUP(A15,'[1]All Exposure Types'!$A:$A,'[1]All Exposure Types'!$C:$C)</f>
        <v>11.96875</v>
      </c>
      <c r="D15">
        <f>_xlfn.XLOOKUP(A15,'[1]All Exposure Types'!$A:$A,'[1]All Exposure Types'!$D:$D)</f>
        <v>14.75</v>
      </c>
      <c r="E15">
        <f>_xlfn.XLOOKUP(A15,'[1]All Exposure Types'!$A:$A,'[1]All Exposure Types'!$E:$E)</f>
        <v>7.4333333333333336</v>
      </c>
      <c r="F15">
        <f>_xlfn.XLOOKUP(A:A,'[1]All Exposure Types'!$A:$A,'[1]All Exposure Types'!$F:$F)</f>
        <v>11.96875</v>
      </c>
    </row>
    <row r="16" spans="1:6" x14ac:dyDescent="0.2">
      <c r="A16" t="str">
        <f>_xlfn.XLOOKUP('[1]All Exposure Types'!$A22,'[1]All Exposure Types'!$A22,'[1]All Exposure Types'!$A22)</f>
        <v>Professional, Scientific, and Management, and Administrative, and Waste Management Services</v>
      </c>
      <c r="B16">
        <f>_xlfn.XLOOKUP(A16,'[1]All Exposure Types'!A:A,'[1]All Exposure Types'!B:B)</f>
        <v>54</v>
      </c>
      <c r="C16">
        <f>_xlfn.XLOOKUP(A16,'[1]All Exposure Types'!$A:$A,'[1]All Exposure Types'!$C:$C)</f>
        <v>28.163636363636364</v>
      </c>
      <c r="D16">
        <f>_xlfn.XLOOKUP(A16,'[1]All Exposure Types'!$A:$A,'[1]All Exposure Types'!$D:$D)</f>
        <v>37.072727272727271</v>
      </c>
      <c r="E16">
        <f>_xlfn.XLOOKUP(A16,'[1]All Exposure Types'!$A:$A,'[1]All Exposure Types'!$E:$E)</f>
        <v>19.346153846153847</v>
      </c>
      <c r="F16">
        <f>_xlfn.XLOOKUP(A:A,'[1]All Exposure Types'!$A:$A,'[1]All Exposure Types'!$F:$F)</f>
        <v>28.163636363636364</v>
      </c>
    </row>
    <row r="17" spans="1:6" x14ac:dyDescent="0.2">
      <c r="A17" t="str">
        <f>_xlfn.XLOOKUP('[1]All Exposure Types'!$A23,'[1]All Exposure Types'!$A23,'[1]All Exposure Types'!$A23)</f>
        <v>Professional, Scientific, and Management, and Administrative, and Waste Management Services</v>
      </c>
      <c r="B17">
        <f>_xlfn.XLOOKUP(A17,'[1]All Exposure Types'!A:A,'[1]All Exposure Types'!B:B)</f>
        <v>54</v>
      </c>
      <c r="C17">
        <f>_xlfn.XLOOKUP(A17,'[1]All Exposure Types'!$A:$A,'[1]All Exposure Types'!$C:$C)</f>
        <v>28.163636363636364</v>
      </c>
      <c r="D17">
        <f>_xlfn.XLOOKUP(A17,'[1]All Exposure Types'!$A:$A,'[1]All Exposure Types'!$D:$D)</f>
        <v>37.072727272727271</v>
      </c>
      <c r="E17">
        <f>_xlfn.XLOOKUP(A17,'[1]All Exposure Types'!$A:$A,'[1]All Exposure Types'!$E:$E)</f>
        <v>19.346153846153847</v>
      </c>
      <c r="F17">
        <f>_xlfn.XLOOKUP(A:A,'[1]All Exposure Types'!$A:$A,'[1]All Exposure Types'!$F:$F)</f>
        <v>28.163636363636364</v>
      </c>
    </row>
    <row r="18" spans="1:6" x14ac:dyDescent="0.2">
      <c r="A18" t="str">
        <f>_xlfn.XLOOKUP('[1]All Exposure Types'!$A24,'[1]All Exposure Types'!$A24,'[1]All Exposure Types'!$A24)</f>
        <v>Professional, Scientific, and Management, and Administrative, and Waste Management Services</v>
      </c>
      <c r="B18">
        <f>_xlfn.XLOOKUP(A18,'[1]All Exposure Types'!A:A,'[1]All Exposure Types'!B:B)</f>
        <v>54</v>
      </c>
      <c r="C18">
        <f>_xlfn.XLOOKUP(A18,'[1]All Exposure Types'!$A:$A,'[1]All Exposure Types'!$C:$C)</f>
        <v>28.163636363636364</v>
      </c>
      <c r="D18">
        <f>_xlfn.XLOOKUP(A18,'[1]All Exposure Types'!$A:$A,'[1]All Exposure Types'!$D:$D)</f>
        <v>37.072727272727271</v>
      </c>
      <c r="E18">
        <f>_xlfn.XLOOKUP(A18,'[1]All Exposure Types'!$A:$A,'[1]All Exposure Types'!$E:$E)</f>
        <v>19.346153846153847</v>
      </c>
      <c r="F18">
        <f>_xlfn.XLOOKUP(A:A,'[1]All Exposure Types'!$A:$A,'[1]All Exposure Types'!$F:$F)</f>
        <v>28.163636363636364</v>
      </c>
    </row>
    <row r="19" spans="1:6" x14ac:dyDescent="0.2">
      <c r="A19" t="str">
        <f>_xlfn.XLOOKUP('[1]All Exposure Types'!$A25,'[1]All Exposure Types'!$A25,'[1]All Exposure Types'!$A25)</f>
        <v>Professional, Scientific, and Management, and Administrative, and Waste Management Services</v>
      </c>
      <c r="B19">
        <f>_xlfn.XLOOKUP(A19,'[1]All Exposure Types'!A:A,'[1]All Exposure Types'!B:B)</f>
        <v>54</v>
      </c>
      <c r="C19">
        <f>_xlfn.XLOOKUP(A19,'[1]All Exposure Types'!$A:$A,'[1]All Exposure Types'!$C:$C)</f>
        <v>28.163636363636364</v>
      </c>
      <c r="D19">
        <f>_xlfn.XLOOKUP(A19,'[1]All Exposure Types'!$A:$A,'[1]All Exposure Types'!$D:$D)</f>
        <v>37.072727272727271</v>
      </c>
      <c r="E19">
        <f>_xlfn.XLOOKUP(A19,'[1]All Exposure Types'!$A:$A,'[1]All Exposure Types'!$E:$E)</f>
        <v>19.346153846153847</v>
      </c>
      <c r="F19">
        <f>_xlfn.XLOOKUP(A:A,'[1]All Exposure Types'!$A:$A,'[1]All Exposure Types'!$F:$F)</f>
        <v>28.163636363636364</v>
      </c>
    </row>
    <row r="20" spans="1:6" x14ac:dyDescent="0.2">
      <c r="A20" t="str">
        <f>_xlfn.XLOOKUP('[1]All Exposure Types'!$A26,'[1]All Exposure Types'!$A26,'[1]All Exposure Types'!$A26)</f>
        <v>Educational Services, and Health Care and Social Assistance</v>
      </c>
      <c r="B20">
        <f>_xlfn.XLOOKUP(A20,'[1]All Exposure Types'!A:A,'[1]All Exposure Types'!B:B)</f>
        <v>61</v>
      </c>
      <c r="C20">
        <f>_xlfn.XLOOKUP(A20,'[1]All Exposure Types'!$A:$A,'[1]All Exposure Types'!$C:$C)</f>
        <v>18.073529411764707</v>
      </c>
      <c r="D20">
        <f>_xlfn.XLOOKUP(A20,'[1]All Exposure Types'!$A:$A,'[1]All Exposure Types'!$D:$D)</f>
        <v>19.632352941176471</v>
      </c>
      <c r="E20">
        <f>_xlfn.XLOOKUP(A20,'[1]All Exposure Types'!$A:$A,'[1]All Exposure Types'!$E:$E)</f>
        <v>11.692307692307692</v>
      </c>
      <c r="F20">
        <f>_xlfn.XLOOKUP(A:A,'[1]All Exposure Types'!$A:$A,'[1]All Exposure Types'!$F:$F)</f>
        <v>18.073529411764707</v>
      </c>
    </row>
    <row r="21" spans="1:6" x14ac:dyDescent="0.2">
      <c r="A21" t="str">
        <f>_xlfn.XLOOKUP('[1]All Exposure Types'!$A27,'[1]All Exposure Types'!$A27,'[1]All Exposure Types'!$A27)</f>
        <v>Educational Services, and Health Care and Social Assistance</v>
      </c>
      <c r="B21">
        <f>_xlfn.XLOOKUP(A21,'[1]All Exposure Types'!A:A,'[1]All Exposure Types'!B:B)</f>
        <v>61</v>
      </c>
      <c r="C21">
        <f>_xlfn.XLOOKUP(A21,'[1]All Exposure Types'!$A:$A,'[1]All Exposure Types'!$C:$C)</f>
        <v>18.073529411764707</v>
      </c>
      <c r="D21">
        <f>_xlfn.XLOOKUP(A21,'[1]All Exposure Types'!$A:$A,'[1]All Exposure Types'!$D:$D)</f>
        <v>19.632352941176471</v>
      </c>
      <c r="E21">
        <f>_xlfn.XLOOKUP(A21,'[1]All Exposure Types'!$A:$A,'[1]All Exposure Types'!$E:$E)</f>
        <v>11.692307692307692</v>
      </c>
      <c r="F21">
        <f>_xlfn.XLOOKUP(A:A,'[1]All Exposure Types'!$A:$A,'[1]All Exposure Types'!$F:$F)</f>
        <v>18.073529411764707</v>
      </c>
    </row>
    <row r="22" spans="1:6" x14ac:dyDescent="0.2">
      <c r="A22" t="s">
        <v>6</v>
      </c>
      <c r="B22">
        <f>_xlfn.XLOOKUP(A22,'[1]All Exposure Types'!A:A,'[1]All Exposure Types'!B:B)</f>
        <v>71</v>
      </c>
      <c r="C22">
        <f>_xlfn.XLOOKUP(A22,'[1]All Exposure Types'!$A:$A,'[1]All Exposure Types'!$C:$C)</f>
        <v>22.88372093023256</v>
      </c>
      <c r="D22">
        <f>_xlfn.XLOOKUP(A22,'[1]All Exposure Types'!$A:$A,'[1]All Exposure Types'!$D:$D)</f>
        <v>28.418604651162791</v>
      </c>
      <c r="E22">
        <f>_xlfn.XLOOKUP(A22,'[1]All Exposure Types'!$A:$A,'[1]All Exposure Types'!$E:$E)</f>
        <v>15.820512820512821</v>
      </c>
      <c r="F22">
        <f>_xlfn.XLOOKUP(A:A,'[1]All Exposure Types'!$A:$A,'[1]All Exposure Types'!$F:$F)</f>
        <v>22.88372093023256</v>
      </c>
    </row>
    <row r="23" spans="1:6" x14ac:dyDescent="0.2">
      <c r="A23" t="s">
        <v>6</v>
      </c>
      <c r="B23">
        <f>_xlfn.XLOOKUP(A23,'[1]All Exposure Types'!A:A,'[1]All Exposure Types'!B:B)</f>
        <v>71</v>
      </c>
      <c r="C23">
        <f>_xlfn.XLOOKUP(A23,'[1]All Exposure Types'!$A:$A,'[1]All Exposure Types'!$C:$C)</f>
        <v>22.88372093023256</v>
      </c>
      <c r="D23">
        <f>_xlfn.XLOOKUP(A23,'[1]All Exposure Types'!$A:$A,'[1]All Exposure Types'!$D:$D)</f>
        <v>28.418604651162791</v>
      </c>
      <c r="E23">
        <f>_xlfn.XLOOKUP(A23,'[1]All Exposure Types'!$A:$A,'[1]All Exposure Types'!$E:$E)</f>
        <v>15.820512820512821</v>
      </c>
      <c r="F23">
        <f>_xlfn.XLOOKUP(A:A,'[1]All Exposure Types'!$A:$A,'[1]All Exposure Types'!$F:$F)</f>
        <v>22.88372093023256</v>
      </c>
    </row>
    <row r="24" spans="1:6" x14ac:dyDescent="0.2">
      <c r="A24" t="s">
        <v>7</v>
      </c>
      <c r="B24">
        <f>_xlfn.XLOOKUP(A24,'[1]All Exposure Types'!A:A,'[1]All Exposure Types'!B:B)</f>
        <v>31</v>
      </c>
      <c r="C24">
        <f>_xlfn.XLOOKUP(A24,'[1]All Exposure Types'!$A:$A,'[1]All Exposure Types'!$C:$C)</f>
        <v>49.539823008849559</v>
      </c>
      <c r="D24">
        <f>_xlfn.XLOOKUP(A24,'[1]All Exposure Types'!$A:$A,'[1]All Exposure Types'!$D:$D)</f>
        <v>22.699115044247787</v>
      </c>
      <c r="E24">
        <f>_xlfn.XLOOKUP(A24,'[1]All Exposure Types'!$A:$A,'[1]All Exposure Types'!$E:$E)</f>
        <v>14.710280373831775</v>
      </c>
      <c r="F24">
        <f>_xlfn.XLOOKUP(A:A,'[1]All Exposure Types'!$A:$A,'[1]All Exposure Types'!$F:$F)</f>
        <v>49.539823008849559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d6daca-af60-4bcb-b786-9d1954629981">
      <Terms xmlns="http://schemas.microsoft.com/office/infopath/2007/PartnerControls"/>
    </lcf76f155ced4ddcb4097134ff3c332f>
    <TaxCatchAll xmlns="98a0f112-b1b0-4055-a6e2-53a61e10bf0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22C63EA487034C9FC745DEDE87E80C" ma:contentTypeVersion="12" ma:contentTypeDescription="Create a new document." ma:contentTypeScope="" ma:versionID="9e6857c3d769d4d321a1a49bd0d4976c">
  <xsd:schema xmlns:xsd="http://www.w3.org/2001/XMLSchema" xmlns:xs="http://www.w3.org/2001/XMLSchema" xmlns:p="http://schemas.microsoft.com/office/2006/metadata/properties" xmlns:ns2="ecd6daca-af60-4bcb-b786-9d1954629981" xmlns:ns3="98a0f112-b1b0-4055-a6e2-53a61e10bf06" targetNamespace="http://schemas.microsoft.com/office/2006/metadata/properties" ma:root="true" ma:fieldsID="b18ec3d3d59e04182502faaf73798c6a" ns2:_="" ns3:_="">
    <xsd:import namespace="ecd6daca-af60-4bcb-b786-9d1954629981"/>
    <xsd:import namespace="98a0f112-b1b0-4055-a6e2-53a61e10bf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6daca-af60-4bcb-b786-9d19546299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6d41a5f-cbfb-4323-98af-06a6a0c01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0f112-b1b0-4055-a6e2-53a61e10bf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eb5476-61d9-470e-aa84-bf9cdb64c200}" ma:internalName="TaxCatchAll" ma:showField="CatchAllData" ma:web="98a0f112-b1b0-4055-a6e2-53a61e10bf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6E9D99-3D63-4338-97FD-9768180A90A9}">
  <ds:schemaRefs>
    <ds:schemaRef ds:uri="http://schemas.microsoft.com/office/2006/metadata/properties"/>
    <ds:schemaRef ds:uri="98a0f112-b1b0-4055-a6e2-53a61e10bf06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ecd6daca-af60-4bcb-b786-9d1954629981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3FF36FA-A918-45CC-BD24-22756662BB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488F4B-66CF-4F7F-BC50-4877A4AB82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d6daca-af60-4bcb-b786-9d1954629981"/>
    <ds:schemaRef ds:uri="98a0f112-b1b0-4055-a6e2-53a61e10bf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Jones</dc:creator>
  <cp:lastModifiedBy>Jones, Sydney La'Rin</cp:lastModifiedBy>
  <dcterms:created xsi:type="dcterms:W3CDTF">2026-04-12T04:26:05Z</dcterms:created>
  <dcterms:modified xsi:type="dcterms:W3CDTF">2026-04-14T03:46:01Z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0x010100EF22C63EA487034C9FC745DEDE87E80C</vt:lpwstr>
  </property>
  <property fmtid="{D5CDD505-2E9C-101B-9397-08002B2CF9AE}" pid="3" name="MediaServiceImageTags">
    <vt:lpwstr/>
  </property>
</Properties>
</file>